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20261010\BB\題庫 R\"/>
    </mc:Choice>
  </mc:AlternateContent>
  <bookViews>
    <workbookView windowWidth="27945" windowHeight="12255"/>
  </bookViews>
  <sheets>
    <sheet name="考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1ECF321DD1744BCF9E1C68BEEAAD41A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11200" y="1771650"/>
          <a:ext cx="2609850" cy="130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4F0FD258E404930BEBEB257E730392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97050" y="1509395"/>
          <a:ext cx="1038225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F731E59B05D48BAAFED2E3BA2CAB9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65330" y="1466850"/>
          <a:ext cx="1033780" cy="847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<sst xmlns="http://schemas.openxmlformats.org/spreadsheetml/2006/main" count="243" uniqueCount="56">
  <si>
    <t>序號</t>
  </si>
  <si>
    <t>問題</t>
  </si>
  <si>
    <t>填寫題</t>
  </si>
  <si>
    <t>單選題</t>
  </si>
  <si>
    <t>多選題</t>
  </si>
  <si>
    <t>是非題</t>
  </si>
  <si>
    <t>填寫題答案位內容</t>
  </si>
  <si>
    <t>單選題答案位A內容</t>
  </si>
  <si>
    <t>單選題答案位B內容</t>
  </si>
  <si>
    <t>單選題答案位C內容</t>
  </si>
  <si>
    <t>單選題答案位D內容</t>
  </si>
  <si>
    <t>單選題答案位E內容</t>
  </si>
  <si>
    <t>單選題答案位F內容</t>
  </si>
  <si>
    <t>多選題答案位A內容</t>
  </si>
  <si>
    <t>多選題答案位B內容</t>
  </si>
  <si>
    <t>多選題答案位C內容</t>
  </si>
  <si>
    <t>多選題答案位D內容</t>
  </si>
  <si>
    <t>多選題答案位E內容</t>
  </si>
  <si>
    <t>多選題答案位F內容</t>
  </si>
  <si>
    <t>填寫題答案位(學生)</t>
  </si>
  <si>
    <t>單選題A(學生)</t>
  </si>
  <si>
    <t>單選題B(學生)</t>
  </si>
  <si>
    <t>單選題C(學生)</t>
  </si>
  <si>
    <t>單選題D(學生)</t>
  </si>
  <si>
    <t>單選題E(學生)</t>
  </si>
  <si>
    <t>單選題F(學生)</t>
  </si>
  <si>
    <t>多選題A(學生)</t>
  </si>
  <si>
    <t>多選題B(學生)</t>
  </si>
  <si>
    <t>多選題C(學生)</t>
  </si>
  <si>
    <t>多選題D(學生)</t>
  </si>
  <si>
    <t>多選題E(學生)</t>
  </si>
  <si>
    <t>多選題F(學生)</t>
  </si>
  <si>
    <t>是非題對(學生)</t>
  </si>
  <si>
    <t>是非題錯(學生)</t>
  </si>
  <si>
    <t>多少分題</t>
  </si>
  <si>
    <t>「电水煲」铭牌：功率 1000W~1200W，电压 220V~240V。若用于澳门（230V），所用电流最多是多少安培？</t>
  </si>
  <si>
    <t/>
  </si>
  <si>
    <t>漏电断路器额定电流之常用单位为下列何者？</t>
  </si>
  <si>
    <t>毫安(mA)</t>
  </si>
  <si>
    <t>安培(A)</t>
  </si>
  <si>
    <t>千安(KA)</t>
  </si>
  <si>
    <t>微安(μA)</t>
  </si>
  <si>
    <t>以下哪些场所的插座应装设漏电保护？（可多选）</t>
  </si>
  <si>
    <t>浴室插座</t>
  </si>
  <si>
    <t>厨房插座</t>
  </si>
  <si>
    <t>睡房床头灯</t>
  </si>
  <si>
    <t>客厅吊灯</t>
  </si>
  <si>
    <t>花园射灯</t>
  </si>
  <si>
    <t>车房灯</t>
  </si>
  <si>
    <t>三相四线制中的中性线也应装设熔断器。</t>
  </si>
  <si>
    <t>「电火锅炉」用 10.5A 电流。若用于澳门，微型断路器 MCB 应选用哪个额定电流？</t>
  </si>
  <si>
    <t>6</t>
  </si>
  <si>
    <t>10</t>
  </si>
  <si>
    <t>16</t>
  </si>
  <si>
    <t>20</t>
  </si>
  <si>
    <t>「一匹冷气」（约 1000W）若用于澳门，微型断路器 MCB 应选用哪个额定电流？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</si>
</sst>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6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"/>
  <sheetViews>
    <sheetView tabSelected="1" workbookViewId="0">
      <pane ySplit="1" topLeftCell="A2" activePane="bottomLeft" state="frozen"/>
      <selection/>
      <selection pane="bottomLeft" activeCell="E23" sqref="E23"/>
    </sheetView>
  </sheetViews>
  <sheetFormatPr defaultColWidth="9" defaultRowHeight="13.5" outlineLevelRow="7"/>
  <cols>
    <col min="1" max="8" width="11" customWidth="1"/>
    <col min="9" max="19" width="14" customWidth="1"/>
    <col min="20" max="26" width="11" customWidth="1"/>
    <col min="35" max="35" width="12" customWidth="1"/>
  </cols>
  <sheetData>
    <row r="1" ht="24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C2">
        <v>1</v>
      </c>
      <c r="D2" t="s">
        <v>36</v>
      </c>
      <c r="E2" t="s">
        <v>36</v>
      </c>
      <c r="F2" t="s">
        <v>36</v>
      </c>
      <c r="G2">
        <v>5.2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</row>
    <row r="3" spans="1:35">
      <c r="A3">
        <v>2</v>
      </c>
      <c r="B3" t="s">
        <v>37</v>
      </c>
      <c r="C3" t="s">
        <v>36</v>
      </c>
      <c r="D3">
        <v>1</v>
      </c>
      <c r="E3" t="s">
        <v>36</v>
      </c>
      <c r="F3" t="s">
        <v>36</v>
      </c>
      <c r="G3" t="s">
        <v>36</v>
      </c>
      <c r="H3" t="s">
        <v>38</v>
      </c>
      <c r="I3" t="s">
        <v>39</v>
      </c>
      <c r="J3" t="s">
        <v>40</v>
      </c>
      <c r="K3" t="s">
        <v>41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>
        <v>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</row>
    <row r="4" spans="1:35">
      <c r="A4">
        <v>3</v>
      </c>
      <c r="B4" t="s">
        <v>42</v>
      </c>
      <c r="C4" t="s">
        <v>36</v>
      </c>
      <c r="D4" t="s">
        <v>36</v>
      </c>
      <c r="E4">
        <v>1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>
        <v>1</v>
      </c>
      <c r="AB4">
        <v>1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</row>
    <row r="5" spans="1:35">
      <c r="A5">
        <v>4</v>
      </c>
      <c r="B5" t="s">
        <v>49</v>
      </c>
      <c r="C5" t="s">
        <v>36</v>
      </c>
      <c r="D5" t="s">
        <v>36</v>
      </c>
      <c r="E5" t="s">
        <v>36</v>
      </c>
      <c r="F5">
        <v>1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>
        <v>1</v>
      </c>
    </row>
    <row r="6" spans="1:35">
      <c r="A6">
        <v>5</v>
      </c>
      <c r="B6" t="s">
        <v>50</v>
      </c>
      <c r="C6">
        <v>1</v>
      </c>
      <c r="D6">
        <v>1</v>
      </c>
      <c r="E6" t="s">
        <v>36</v>
      </c>
      <c r="F6" t="s">
        <v>36</v>
      </c>
      <c r="G6">
        <v>16</v>
      </c>
      <c r="H6" t="s">
        <v>51</v>
      </c>
      <c r="I6" t="s">
        <v>52</v>
      </c>
      <c r="J6" t="s">
        <v>53</v>
      </c>
      <c r="K6" t="s">
        <v>54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>
        <v>1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>
        <v>5</v>
      </c>
    </row>
    <row r="7" spans="1:35">
      <c r="A7">
        <v>6</v>
      </c>
      <c r="B7" t="s">
        <v>55</v>
      </c>
      <c r="C7">
        <v>1</v>
      </c>
      <c r="D7">
        <v>1</v>
      </c>
      <c r="E7" t="s">
        <v>36</v>
      </c>
      <c r="F7" t="s">
        <v>36</v>
      </c>
      <c r="G7">
        <v>4.5</v>
      </c>
      <c r="H7" t="s">
        <v>51</v>
      </c>
      <c r="I7" t="s">
        <v>52</v>
      </c>
      <c r="J7" t="s">
        <v>53</v>
      </c>
      <c r="K7" t="s">
        <v>54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>
        <v>1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>
        <v>5</v>
      </c>
    </row>
    <row r="8" customFormat="1" ht="69.25" customHeight="1" spans="1:35">
      <c r="A8">
        <v>7</v>
      </c>
      <c r="B8" t="s">
        <v>42</v>
      </c>
      <c r="C8" t="s">
        <v>36</v>
      </c>
      <c r="D8" t="s">
        <v>36</v>
      </c>
      <c r="E8">
        <v>1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tr">
        <f xml:space="preserve">_xlfn.DISPIMG("ID_8F731E59B05D48BAAFED2E3BA2CAB9C3",1)</f>
        <v>=DISPIMG("ID_8F731E59B05D48BAAFED2E3BA2CAB9C3",1)</v>
      </c>
      <c r="O8" t="str">
        <f xml:space="preserve">_xlfn.DISPIMG("ID_1ECF321DD1744BCF9E1C68BEEAAD41A7",1)</f>
        <v>=DISPIMG("ID_1ECF321DD1744BCF9E1C68BEEAAD41A7",1)</v>
      </c>
      <c r="P8" t="str">
        <f xml:space="preserve">_xlfn.DISPIMG("ID_94F0FD258E404930BEBEB257E730392A",1)</f>
        <v>=DISPIMG("ID_94F0FD258E404930BEBEB257E730392A",1)</v>
      </c>
      <c r="Q8" t="s">
        <v>46</v>
      </c>
      <c r="R8" t="s">
        <v>47</v>
      </c>
      <c r="S8" t="s">
        <v>48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1</v>
      </c>
      <c r="AB8">
        <v>1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學友仔(瀨皮洋)</cp:lastModifiedBy>
  <dcterms:created xsi:type="dcterms:W3CDTF">2026-10-10T17:05:00Z</dcterms:created>
  <dcterms:modified xsi:type="dcterms:W3CDTF">2026-10-15T20:59:36Z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1D387C8BBEFB4728B94323A18F18DA90_12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